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Guide" sheetId="2" state="visible" r:id="rId2"/>
    <sheet xmlns:r="http://schemas.openxmlformats.org/officeDocument/2006/relationships" name="Review Cadence" sheetId="3" state="visible" r:id="rId3"/>
  </sheets>
  <definedNames>
    <definedName name="_xlnm._FilterDatabase" localSheetId="0" hidden="1">'Risk Register'!$A$1:$K$15</definedName>
    <definedName name="_xlnm.Print_Titles" localSheetId="0">'Risk Register'!$1:$1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02C"/>
      <sz val="10"/>
    </font>
    <font>
      <name val="Calibri"/>
      <b val="1"/>
      <color rgb="000F172A"/>
      <sz val="11"/>
    </font>
    <font>
      <name val="Calibri"/>
      <b val="1"/>
      <color rgb="00FFFFFF"/>
      <sz val="16"/>
    </font>
    <font>
      <name val="Calibri"/>
      <b val="1"/>
      <sz val="14"/>
    </font>
    <font>
      <name val="Calibri"/>
      <b val="1"/>
      <color rgb="00006100"/>
      <sz val="14"/>
    </font>
    <font>
      <name val="Calibri"/>
      <b val="1"/>
      <color rgb="009C5700"/>
      <sz val="14"/>
    </font>
    <font>
      <name val="Calibri"/>
      <b val="1"/>
      <color rgb="009C0006"/>
      <sz val="14"/>
    </font>
    <font>
      <name val="Calibri"/>
      <i val="1"/>
      <color rgb="00475569"/>
      <sz val="10"/>
    </font>
    <font>
      <name val="Calibri"/>
      <b val="1"/>
      <color rgb="00FFFFFF"/>
      <sz val="12"/>
    </font>
    <font>
      <name val="Calibri"/>
      <b val="1"/>
      <color rgb="009C0006"/>
      <sz val="11"/>
    </font>
    <font>
      <name val="Calibri"/>
      <color rgb="001A202C"/>
      <sz val="11"/>
    </font>
    <font>
      <name val="Calibri"/>
      <b val="1"/>
      <color rgb="009C5700"/>
      <sz val="11"/>
    </font>
    <font>
      <name val="Calibri"/>
      <b val="1"/>
      <color rgb="00006100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0F4F8"/>
      </patternFill>
    </fill>
    <fill>
      <patternFill patternType="solid">
        <fgColor rgb="002B6CB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13" customWidth="1" min="3" max="3"/>
    <col width="11" customWidth="1" min="4" max="4"/>
    <col width="11" customWidth="1" min="5" max="5"/>
    <col width="8" customWidth="1" min="6" max="6"/>
    <col width="18" customWidth="1" min="7" max="7"/>
    <col width="58" customWidth="1" min="8" max="8"/>
    <col width="45" customWidth="1" min="9" max="9"/>
    <col width="11" customWidth="1" min="10" max="10"/>
    <col width="13" customWidth="1" min="11" max="11"/>
  </cols>
  <sheetData>
    <row r="1" ht="30" customHeight="1">
      <c r="A1" s="1" t="inlineStr">
        <is>
          <t>ID</t>
        </is>
      </c>
      <c r="B1" s="1" t="inlineStr">
        <is>
          <t>Risk statement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Score</t>
        </is>
      </c>
      <c r="G1" s="1" t="inlineStr">
        <is>
          <t>Owner</t>
        </is>
      </c>
      <c r="H1" s="1" t="inlineStr">
        <is>
          <t>Response</t>
        </is>
      </c>
      <c r="I1" s="1" t="inlineStr">
        <is>
          <t>Trigger</t>
        </is>
      </c>
      <c r="J1" s="1" t="inlineStr">
        <is>
          <t>Status</t>
        </is>
      </c>
      <c r="K1" s="1" t="inlineStr">
        <is>
          <t>Review date</t>
        </is>
      </c>
    </row>
    <row r="2" ht="45" customHeight="1">
      <c r="A2" s="2" t="inlineStr">
        <is>
          <t>R-001</t>
        </is>
      </c>
      <c r="B2" s="3" t="inlineStr">
        <is>
          <t>If requirements continue to expand after design sign-off, then configuration rework will push go-live by 4–6 weeks.</t>
        </is>
      </c>
      <c r="C2" s="2" t="inlineStr">
        <is>
          <t>Scope</t>
        </is>
      </c>
      <c r="D2" s="2" t="inlineStr">
        <is>
          <t>High</t>
        </is>
      </c>
      <c r="E2" s="2" t="inlineStr">
        <is>
          <t>High</t>
        </is>
      </c>
      <c r="F2" s="4">
        <f>MATCH(D2,{"Low","Medium","High"},0)*MATCH(E2,{"Low","Medium","High"},0)</f>
        <v/>
      </c>
      <c r="G2" s="2" t="inlineStr">
        <is>
          <t>Project Manager</t>
        </is>
      </c>
      <c r="H2" s="3" t="inlineStr">
        <is>
          <t>(Avoid): freeze scope at sign-off; all changes via change control with impact assessment</t>
        </is>
      </c>
      <c r="I2" s="3" t="inlineStr">
        <is>
          <t>Any new requirement raised post-sign-off</t>
        </is>
      </c>
      <c r="J2" s="2" t="inlineStr">
        <is>
          <t>Open</t>
        </is>
      </c>
      <c r="K2" s="2" t="inlineStr"/>
    </row>
    <row r="3" ht="45" customHeight="1">
      <c r="A3" s="5" t="inlineStr">
        <is>
          <t>R-002</t>
        </is>
      </c>
      <c r="B3" s="6" t="inlineStr">
        <is>
          <t>If legacy time-keeping data is not cleansed before migration, then UAT will surface pay-rule defects late, delaying go-live.</t>
        </is>
      </c>
      <c r="C3" s="5" t="inlineStr">
        <is>
          <t>Data</t>
        </is>
      </c>
      <c r="D3" s="5" t="inlineStr">
        <is>
          <t>High</t>
        </is>
      </c>
      <c r="E3" s="5" t="inlineStr">
        <is>
          <t>High</t>
        </is>
      </c>
      <c r="F3" s="4">
        <f>MATCH(D3,{"Low","Medium","High"},0)*MATCH(E3,{"Low","Medium","High"},0)</f>
        <v/>
      </c>
      <c r="G3" s="5" t="inlineStr">
        <is>
          <t>Data Lead</t>
        </is>
      </c>
      <c r="H3" s="6" t="inlineStr">
        <is>
          <t>(Mitigate): two cleansing sprints before first mock load; reconciliation sign-off gates each load</t>
        </is>
      </c>
      <c r="I3" s="6" t="inlineStr">
        <is>
          <t>Mock load reconciliation variances &gt;0</t>
        </is>
      </c>
      <c r="J3" s="5" t="inlineStr">
        <is>
          <t>Open</t>
        </is>
      </c>
      <c r="K3" s="5" t="inlineStr"/>
    </row>
    <row r="4" ht="45" customHeight="1">
      <c r="A4" s="2" t="inlineStr">
        <is>
          <t>R-003</t>
        </is>
      </c>
      <c r="B4" s="3" t="inlineStr">
        <is>
          <t>If the client payroll lead has no protected capacity, then design decisions will queue and the schedule will slip.</t>
        </is>
      </c>
      <c r="C4" s="2" t="inlineStr">
        <is>
          <t>Resources</t>
        </is>
      </c>
      <c r="D4" s="2" t="inlineStr">
        <is>
          <t>High</t>
        </is>
      </c>
      <c r="E4" s="2" t="inlineStr">
        <is>
          <t>High</t>
        </is>
      </c>
      <c r="F4" s="4">
        <f>MATCH(D4,{"Low","Medium","High"},0)*MATCH(E4,{"Low","Medium","High"},0)</f>
        <v/>
      </c>
      <c r="G4" s="2" t="inlineStr">
        <is>
          <t>Executive Sponsor</t>
        </is>
      </c>
      <c r="H4" s="3" t="inlineStr">
        <is>
          <t>(Mitigate): 50% capacity formally allocated in writing; backfill identified</t>
        </is>
      </c>
      <c r="I4" s="3" t="inlineStr">
        <is>
          <t>Decision turnaround exceeds 5 business days</t>
        </is>
      </c>
      <c r="J4" s="2" t="inlineStr">
        <is>
          <t>Open</t>
        </is>
      </c>
      <c r="K4" s="2" t="inlineStr"/>
    </row>
    <row r="5" ht="45" customHeight="1">
      <c r="A5" s="5" t="inlineStr">
        <is>
          <t>R-004</t>
        </is>
      </c>
      <c r="B5" s="6" t="inlineStr">
        <is>
          <t>If the benefits carrier EDI file fails in integration testing, then enrollment data will require manual entry at go-live.</t>
        </is>
      </c>
      <c r="C5" s="5" t="inlineStr">
        <is>
          <t>Technology</t>
        </is>
      </c>
      <c r="D5" s="5" t="inlineStr">
        <is>
          <t>Medium</t>
        </is>
      </c>
      <c r="E5" s="5" t="inlineStr">
        <is>
          <t>High</t>
        </is>
      </c>
      <c r="F5" s="4">
        <f>MATCH(D5,{"Low","Medium","High"},0)*MATCH(E5,{"Low","Medium","High"},0)</f>
        <v/>
      </c>
      <c r="G5" s="5" t="inlineStr">
        <is>
          <t>Integration Lead</t>
        </is>
      </c>
      <c r="H5" s="6" t="inlineStr">
        <is>
          <t>(Mitigate): early carrier connectivity test in month 1; manual-entry contingency staffed</t>
        </is>
      </c>
      <c r="I5" s="6" t="inlineStr">
        <is>
          <t>First connectivity test fails</t>
        </is>
      </c>
      <c r="J5" s="5" t="inlineStr">
        <is>
          <t>Open</t>
        </is>
      </c>
      <c r="K5" s="5" t="inlineStr"/>
    </row>
    <row r="6" ht="45" customHeight="1">
      <c r="A6" s="2" t="inlineStr">
        <is>
          <t>R-005</t>
        </is>
      </c>
      <c r="B6" s="3" t="inlineStr">
        <is>
          <t>If managers don't complete approval training, then time-off requests will bottleneck after go-live.</t>
        </is>
      </c>
      <c r="C6" s="2" t="inlineStr">
        <is>
          <t>Change</t>
        </is>
      </c>
      <c r="D6" s="2" t="inlineStr">
        <is>
          <t>Medium</t>
        </is>
      </c>
      <c r="E6" s="2" t="inlineStr">
        <is>
          <t>Medium</t>
        </is>
      </c>
      <c r="F6" s="4">
        <f>MATCH(D6,{"Low","Medium","High"},0)*MATCH(E6,{"Low","Medium","High"},0)</f>
        <v/>
      </c>
      <c r="G6" s="2" t="inlineStr">
        <is>
          <t>Change Lead</t>
        </is>
      </c>
      <c r="H6" s="3" t="inlineStr">
        <is>
          <t>(Mitigate): training completion tracked as go-live gate; manager champions per department</t>
        </is>
      </c>
      <c r="I6" s="3" t="inlineStr">
        <is>
          <t>Training completion &lt;90% at T-2 weeks</t>
        </is>
      </c>
      <c r="J6" s="2" t="inlineStr">
        <is>
          <t>Open</t>
        </is>
      </c>
      <c r="K6" s="2" t="inlineStr"/>
    </row>
    <row r="7" ht="45" customHeight="1">
      <c r="A7" s="5" t="inlineStr">
        <is>
          <t>R-006</t>
        </is>
      </c>
      <c r="B7" s="6" t="inlineStr">
        <is>
          <t>If Quebec-specific tax rules are misconfigured, then the first payroll will produce incorrect deductions.</t>
        </is>
      </c>
      <c r="C7" s="5" t="inlineStr">
        <is>
          <t>Compliance</t>
        </is>
      </c>
      <c r="D7" s="5" t="inlineStr">
        <is>
          <t>Medium</t>
        </is>
      </c>
      <c r="E7" s="5" t="inlineStr">
        <is>
          <t>High</t>
        </is>
      </c>
      <c r="F7" s="4">
        <f>MATCH(D7,{"Low","Medium","High"},0)*MATCH(E7,{"Low","Medium","High"},0)</f>
        <v/>
      </c>
      <c r="G7" s="5" t="inlineStr">
        <is>
          <t>Payroll Lead</t>
        </is>
      </c>
      <c r="H7" s="6" t="inlineStr">
        <is>
          <t>(Avoid): jurisdiction review workshop before design sign-off; parallel run includes Quebec scenarios</t>
        </is>
      </c>
      <c r="I7" s="6" t="inlineStr">
        <is>
          <t>Parallel run variance in Quebec deductions</t>
        </is>
      </c>
      <c r="J7" s="5" t="inlineStr">
        <is>
          <t>Open</t>
        </is>
      </c>
      <c r="K7" s="5" t="inlineStr"/>
    </row>
    <row r="8" ht="45" customHeight="1">
      <c r="A8" s="2" t="inlineStr">
        <is>
          <t>R-007</t>
        </is>
      </c>
      <c r="B8" s="3" t="inlineStr">
        <is>
          <t>If the steering committee cannot reach decisions within one meeting cycle, then dependent workstreams will idle.</t>
        </is>
      </c>
      <c r="C8" s="2" t="inlineStr">
        <is>
          <t>Governance</t>
        </is>
      </c>
      <c r="D8" s="2" t="inlineStr">
        <is>
          <t>Medium</t>
        </is>
      </c>
      <c r="E8" s="2" t="inlineStr">
        <is>
          <t>Medium</t>
        </is>
      </c>
      <c r="F8" s="4">
        <f>MATCH(D8,{"Low","Medium","High"},0)*MATCH(E8,{"Low","Medium","High"},0)</f>
        <v/>
      </c>
      <c r="G8" s="2" t="inlineStr">
        <is>
          <t>Project Manager</t>
        </is>
      </c>
      <c r="H8" s="3" t="inlineStr">
        <is>
          <t>(Mitigate): decision log with due dates; escalation path to sponsor defined</t>
        </is>
      </c>
      <c r="I8" s="3" t="inlineStr">
        <is>
          <t>Any decision open &gt;10 business days</t>
        </is>
      </c>
      <c r="J8" s="2" t="inlineStr">
        <is>
          <t>Open</t>
        </is>
      </c>
      <c r="K8" s="2" t="inlineStr"/>
    </row>
    <row r="9" ht="45" customHeight="1">
      <c r="A9" s="5" t="inlineStr">
        <is>
          <t>R-008</t>
        </is>
      </c>
      <c r="B9" s="6" t="inlineStr">
        <is>
          <t>If the legacy system remains editable during the data freeze, then migration reconciliation will be invalidated.</t>
        </is>
      </c>
      <c r="C9" s="5" t="inlineStr">
        <is>
          <t>Cutover</t>
        </is>
      </c>
      <c r="D9" s="5" t="inlineStr">
        <is>
          <t>Medium</t>
        </is>
      </c>
      <c r="E9" s="5" t="inlineStr">
        <is>
          <t>High</t>
        </is>
      </c>
      <c r="F9" s="4">
        <f>MATCH(D9,{"Low","Medium","High"},0)*MATCH(E9,{"Low","Medium","High"},0)</f>
        <v/>
      </c>
      <c r="G9" s="5" t="inlineStr">
        <is>
          <t>Cutover Manager</t>
        </is>
      </c>
      <c r="H9" s="6" t="inlineStr">
        <is>
          <t>(Avoid): freeze communicated 4 weeks ahead; read-only access enforced technically</t>
        </is>
      </c>
      <c r="I9" s="6" t="inlineStr">
        <is>
          <t>Any write detected during freeze window</t>
        </is>
      </c>
      <c r="J9" s="5" t="inlineStr">
        <is>
          <t>Open</t>
        </is>
      </c>
      <c r="K9" s="5" t="inlineStr"/>
    </row>
    <row r="10" ht="30" customHeight="1">
      <c r="A10" s="5" t="n"/>
      <c r="B10" s="6" t="n"/>
      <c r="C10" s="5" t="n"/>
      <c r="D10" s="5" t="n"/>
      <c r="E10" s="5" t="n"/>
      <c r="F10" s="4">
        <f>IFERROR(MATCH(D10,{"Low","Medium","High"},0)*MATCH(E10,{"Low","Medium","High"},0),"")</f>
        <v/>
      </c>
      <c r="G10" s="5" t="n"/>
      <c r="H10" s="6" t="n"/>
      <c r="I10" s="6" t="n"/>
      <c r="J10" s="5" t="n"/>
      <c r="K10" s="5" t="n"/>
    </row>
    <row r="11" ht="30" customHeight="1">
      <c r="A11" s="5" t="n"/>
      <c r="B11" s="6" t="n"/>
      <c r="C11" s="5" t="n"/>
      <c r="D11" s="5" t="n"/>
      <c r="E11" s="5" t="n"/>
      <c r="F11" s="4">
        <f>IFERROR(MATCH(D11,{"Low","Medium","High"},0)*MATCH(E11,{"Low","Medium","High"},0),"")</f>
        <v/>
      </c>
      <c r="G11" s="5" t="n"/>
      <c r="H11" s="6" t="n"/>
      <c r="I11" s="6" t="n"/>
      <c r="J11" s="5" t="n"/>
      <c r="K11" s="5" t="n"/>
    </row>
    <row r="12" ht="30" customHeight="1">
      <c r="A12" s="5" t="n"/>
      <c r="B12" s="6" t="n"/>
      <c r="C12" s="5" t="n"/>
      <c r="D12" s="5" t="n"/>
      <c r="E12" s="5" t="n"/>
      <c r="F12" s="4">
        <f>IFERROR(MATCH(D12,{"Low","Medium","High"},0)*MATCH(E12,{"Low","Medium","High"},0),"")</f>
        <v/>
      </c>
      <c r="G12" s="5" t="n"/>
      <c r="H12" s="6" t="n"/>
      <c r="I12" s="6" t="n"/>
      <c r="J12" s="5" t="n"/>
      <c r="K12" s="5" t="n"/>
    </row>
    <row r="13" ht="30" customHeight="1">
      <c r="A13" s="5" t="n"/>
      <c r="B13" s="6" t="n"/>
      <c r="C13" s="5" t="n"/>
      <c r="D13" s="5" t="n"/>
      <c r="E13" s="5" t="n"/>
      <c r="F13" s="4">
        <f>IFERROR(MATCH(D13,{"Low","Medium","High"},0)*MATCH(E13,{"Low","Medium","High"},0),"")</f>
        <v/>
      </c>
      <c r="G13" s="5" t="n"/>
      <c r="H13" s="6" t="n"/>
      <c r="I13" s="6" t="n"/>
      <c r="J13" s="5" t="n"/>
      <c r="K13" s="5" t="n"/>
    </row>
    <row r="14" ht="30" customHeight="1">
      <c r="A14" s="5" t="n"/>
      <c r="B14" s="6" t="n"/>
      <c r="C14" s="5" t="n"/>
      <c r="D14" s="5" t="n"/>
      <c r="E14" s="5" t="n"/>
      <c r="F14" s="4">
        <f>IFERROR(MATCH(D14,{"Low","Medium","High"},0)*MATCH(E14,{"Low","Medium","High"},0),"")</f>
        <v/>
      </c>
      <c r="G14" s="5" t="n"/>
      <c r="H14" s="6" t="n"/>
      <c r="I14" s="6" t="n"/>
      <c r="J14" s="5" t="n"/>
      <c r="K14" s="5" t="n"/>
    </row>
    <row r="15" ht="30" customHeight="1">
      <c r="A15" s="5" t="n"/>
      <c r="B15" s="6" t="n"/>
      <c r="C15" s="5" t="n"/>
      <c r="D15" s="5" t="n"/>
      <c r="E15" s="5" t="n"/>
      <c r="F15" s="4">
        <f>IFERROR(MATCH(D15,{"Low","Medium","High"},0)*MATCH(E15,{"Low","Medium","High"},0),"")</f>
        <v/>
      </c>
      <c r="G15" s="5" t="n"/>
      <c r="H15" s="6" t="n"/>
      <c r="I15" s="6" t="n"/>
      <c r="J15" s="5" t="n"/>
      <c r="K15" s="5" t="n"/>
    </row>
  </sheetData>
  <autoFilter ref="A1:K15"/>
  <conditionalFormatting sqref="F2:F15">
    <cfRule type="cellIs" priority="1" operator="between" dxfId="0">
      <formula>7</formula>
      <formula>9</formula>
    </cfRule>
    <cfRule type="cellIs" priority="2" operator="between" dxfId="1">
      <formula>4</formula>
      <formula>6</formula>
    </cfRule>
    <cfRule type="cellIs" priority="3" operator="between" dxfId="2">
      <formula>1</formula>
      <formula>3</formula>
    </cfRule>
  </conditionalFormatting>
  <dataValidations count="4">
    <dataValidation sqref="C2:C15" showDropDown="0" showInputMessage="0" showErrorMessage="1" allowBlank="1" errorTitle="Invalid value" error="Please choose a value from the list." promptTitle="List" prompt="Choose a value from the list." type="list">
      <formula1>"Scope,Data,Resources,Schedule,Technology,Compliance,Change,Vendor,Governance,Cutover"</formula1>
    </dataValidation>
    <dataValidation sqref="D2:D15" showDropDown="0" showInputMessage="0" showErrorMessage="1" allowBlank="1" errorTitle="Invalid value" error="Please choose a value from the list." promptTitle="List" prompt="Choose a value from the list." type="list">
      <formula1>"High,Medium,Low"</formula1>
    </dataValidation>
    <dataValidation sqref="E2:E15" showDropDown="0" showInputMessage="0" showErrorMessage="1" allowBlank="1" errorTitle="Invalid value" error="Please choose a value from the list." promptTitle="List" prompt="Choose a value from the list." type="list">
      <formula1>"High,Medium,Low"</formula1>
    </dataValidation>
    <dataValidation sqref="J2:J15" showDropDown="0" showInputMessage="0" showErrorMessage="1" allowBlank="1" errorTitle="Invalid value" error="Please choose a value from the list." promptTitle="List" prompt="Choose a value from the list." type="list">
      <formula1>"Open,Mitigated,Occurred,Closed"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7" t="inlineStr">
        <is>
          <t>Probability × Impact Scoring Matrix</t>
        </is>
      </c>
    </row>
    <row r="2" ht="24" customHeight="1">
      <c r="A2" s="8" t="inlineStr">
        <is>
          <t>Probability \ Impact</t>
        </is>
      </c>
      <c r="B2" s="8" t="inlineStr">
        <is>
          <t>Low</t>
        </is>
      </c>
      <c r="C2" s="8" t="inlineStr">
        <is>
          <t>Medium</t>
        </is>
      </c>
      <c r="D2" s="8" t="inlineStr">
        <is>
          <t>High</t>
        </is>
      </c>
    </row>
    <row r="3" ht="30" customHeight="1">
      <c r="A3" s="8" t="inlineStr">
        <is>
          <t>High</t>
        </is>
      </c>
      <c r="B3" s="9" t="n">
        <v>3</v>
      </c>
      <c r="C3" s="10" t="n">
        <v>6</v>
      </c>
      <c r="D3" s="11" t="n">
        <v>9</v>
      </c>
    </row>
    <row r="4" ht="30" customHeight="1">
      <c r="A4" s="8" t="inlineStr">
        <is>
          <t>Medium</t>
        </is>
      </c>
      <c r="B4" s="9" t="n">
        <v>2</v>
      </c>
      <c r="C4" s="10" t="n">
        <v>4</v>
      </c>
      <c r="D4" s="10" t="n">
        <v>6</v>
      </c>
    </row>
    <row r="5" ht="30" customHeight="1">
      <c r="A5" s="8" t="inlineStr">
        <is>
          <t>Low</t>
        </is>
      </c>
      <c r="B5" s="9" t="n">
        <v>1</v>
      </c>
      <c r="C5" s="9" t="n">
        <v>2</v>
      </c>
      <c r="D5" s="9" t="n">
        <v>3</v>
      </c>
    </row>
    <row r="6">
      <c r="A6" s="12" t="inlineStr">
        <is>
          <t>Score = MATCH(probability, {"Low","Medium","High"}) × MATCH(impact, {"Low","Medium","High"})  →  1–9</t>
        </is>
      </c>
    </row>
    <row r="8" ht="28" customHeight="1">
      <c r="A8" s="13" t="inlineStr">
        <is>
          <t>Review Bands</t>
        </is>
      </c>
    </row>
    <row r="9" ht="24" customHeight="1">
      <c r="A9" s="14" t="inlineStr">
        <is>
          <t>7–9 · Red</t>
        </is>
      </c>
      <c r="B9" s="15" t="inlineStr">
        <is>
          <t>Active mitigation plan, executive visibility, weekly review.</t>
        </is>
      </c>
    </row>
    <row r="10" ht="24" customHeight="1">
      <c r="A10" s="16" t="inlineStr">
        <is>
          <t>4–6 · Amber</t>
        </is>
      </c>
      <c r="B10" s="15" t="inlineStr">
        <is>
          <t>Plan drafted, review biweekly.</t>
        </is>
      </c>
    </row>
    <row r="11" ht="24" customHeight="1">
      <c r="A11" s="17" t="inlineStr">
        <is>
          <t>1–3 · Green</t>
        </is>
      </c>
      <c r="B11" s="15" t="inlineStr">
        <is>
          <t>Watchlist, review monthly.</t>
        </is>
      </c>
    </row>
    <row r="13" ht="30" customHeight="1">
      <c r="A13" s="18" t="inlineStr">
        <is>
          <t>Honest scoring: "When the context changes the probability, rescore — don't defend the old number (see R-006)."</t>
        </is>
      </c>
    </row>
    <row r="14" ht="6" customHeight="1">
      <c r="A14" s="19" t="n"/>
      <c r="B14" s="19" t="n"/>
      <c r="C14" s="19" t="n"/>
      <c r="D14" s="19" t="n"/>
    </row>
  </sheetData>
  <mergeCells count="7">
    <mergeCell ref="B10:D10"/>
    <mergeCell ref="A1:D1"/>
    <mergeCell ref="B11:D11"/>
    <mergeCell ref="A8:D8"/>
    <mergeCell ref="A6:D6"/>
    <mergeCell ref="A13:D14"/>
    <mergeCell ref="B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6" customHeight="1">
      <c r="A1" s="7" t="inlineStr">
        <is>
          <t>Review Cadence</t>
        </is>
      </c>
    </row>
    <row r="3" ht="28" customHeight="1">
      <c r="A3" s="13" t="inlineStr">
        <is>
          <t>Weekly</t>
        </is>
      </c>
    </row>
    <row r="4" ht="30" customHeight="1">
      <c r="A4" s="20" t="inlineStr">
        <is>
          <t>Review red and amber risks in the project team meeting.</t>
        </is>
      </c>
    </row>
    <row r="6" ht="28" customHeight="1">
      <c r="A6" s="13" t="inlineStr">
        <is>
          <t>Steering Committee</t>
        </is>
      </c>
    </row>
    <row r="7" ht="30" customHeight="1">
      <c r="A7" s="20" t="inlineStr">
        <is>
          <t>Top risks are the first agenda item, every meeting.</t>
        </is>
      </c>
    </row>
    <row r="9" ht="28" customHeight="1">
      <c r="A9" s="13" t="inlineStr">
        <is>
          <t>Monthly</t>
        </is>
      </c>
    </row>
    <row r="10" ht="30" customHeight="1">
      <c r="A10" s="20" t="inlineStr">
        <is>
          <t>Full register review, including green watchlist items.</t>
        </is>
      </c>
    </row>
    <row r="12" ht="28" customHeight="1">
      <c r="A12" s="13" t="inlineStr">
        <is>
          <t>The Rule</t>
        </is>
      </c>
    </row>
    <row r="13" ht="44" customHeight="1">
      <c r="A13" s="18" t="inlineStr">
        <is>
          <t>A risk stays open until its mitigation is verified — the parallel run reconciled, the training completed, the freeze held. "Plan in progress" is not "mitigated."</t>
        </is>
      </c>
    </row>
  </sheetData>
  <mergeCells count="9">
    <mergeCell ref="A4:B4"/>
    <mergeCell ref="A7:B7"/>
    <mergeCell ref="A10:B10"/>
    <mergeCell ref="A13:B13"/>
    <mergeCell ref="A1:B1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karimchaouki.com</dc:creator>
  <dc:title xmlns:dc="http://purl.org/dc/elements/1.1/">Implementation Risk Register Template and Field Guide</dc:title>
  <dc:description xmlns:dc="http://purl.org/dc/elements/1.1/">Implementation Risk Register template and field guide — 8 worked example risks, 3x3 scoring matrix, and review cadence.</dc:description>
  <dc:subject xmlns:dc="http://purl.org/dc/elements/1.1/">HCM implementation risk register (.xlsx template)</dc:subject>
  <dcterms:created xmlns:dcterms="http://purl.org/dc/terms/" xmlns:xsi="http://www.w3.org/2001/XMLSchema-instance" xsi:type="dcterms:W3CDTF">2026-10-14T01:01:16+00:00Z</dcterms:created>
  <dcterms:modified xmlns:dcterms="http://purl.org/dc/terms/" xmlns:xsi="http://www.w3.org/2001/XMLSchema-instance" xsi:type="dcterms:W3CDTF">2026-10-14T01:01:16+00:00Z</dcterms:modified>
  <cp:lastModifiedBy>karimchaouki.com</cp:lastModifiedBy>
  <cp:category>Lead magnet</cp:category>
  <cp:keywords>risk register,implementation risk,HCM implementation,project risk template</cp:keywords>
</cp:coreProperties>
</file>